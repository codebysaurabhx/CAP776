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21ECE481-DEA0-4027-95F8-DD91BB641484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1" l="1"/>
  <c r="J7" i="1"/>
  <c r="I7" i="1"/>
  <c r="I8" i="1"/>
  <c r="J8" i="1" s="1"/>
  <c r="I9" i="1"/>
  <c r="J9" i="1" s="1"/>
  <c r="I10" i="1"/>
  <c r="I11" i="1"/>
  <c r="J11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<sst xmlns="http://schemas.openxmlformats.org/spreadsheetml/2006/main" count="69" uniqueCount="44">
  <si>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</si>
  <si>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</si>
  <si>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</si>
  <si>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</si>
  <si>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</si>
  <si>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</si>
  <si>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</si>
  <si>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</si>
  <si>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</si>
  <si>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</si>
  <si>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</si>
  <si>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</si>
  <si>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</si>
  <si>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</si>
  <si>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</si>
  <si>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</si>
  <si>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</si>
  <si>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</si>
  <si>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</si>
  <si>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</si>
  <si>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</si>
  <si>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</si>
  <si>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</si>
  <si>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</si>
  <si>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</si>
  <si>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</si>
  <si>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</si>
  <si>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</si>
  <si>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</si>
  <si>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</si>
  <si>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</si>
  <si>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</si>
  <si>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</si>
  <si>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</si>
  <si>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</si>
  <si>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</si>
  <si>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2026-08-21</t>
  </si>
  <si>
    <t>Consistent routine</t>
  </si>
  <si>
    <t>2026-08-22</t>
  </si>
  <si>
    <t>2026-08-23</t>
  </si>
  <si>
    <t>High productivity</t>
  </si>
  <si>
    <t>2026-08-24</t>
  </si>
  <si>
    <t>2026-08-25</t>
  </si>
  <si>
    <t>2026-08-26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</si>
</sst>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"/>
  <sheetViews>
    <sheetView tabSelected="1" zoomScaleNormal="10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B12" sqref="B12:E12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10" t="s">
        <v>1</v>
      </c>
      <c r="B2" s="11" t="s">
        <v>34</v>
      </c>
      <c r="E2" s="10" t="s">
        <v>2</v>
      </c>
      <c r="F2" s="11">
        <v>12616002</v>
      </c>
    </row>
    <row r="3" spans="1:14" x14ac:dyDescent="0.35">
      <c r="A3" s="10" t="s">
        <v>3</v>
      </c>
      <c r="B3" s="12" t="s">
        <v>35</v>
      </c>
    </row>
    <row r="4" spans="1:14" x14ac:dyDescent="0.35">
      <c r="A4" s="1"/>
    </row>
    <row r="5" spans="1:14" ht="61.25" customHeight="1" x14ac:dyDescent="0.35">
      <c r="A5" s="9" t="s">
        <v>4</v>
      </c>
      <c r="B5" s="9" t="s">
        <v>5</v>
      </c>
      <c r="C5" s="9" t="s">
        <v>6</v>
      </c>
      <c r="D5" s="9" t="s">
        <v>7</v>
      </c>
      <c r="E5" s="9" t="s">
        <v>8</v>
      </c>
      <c r="F5" s="9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5" t="s">
        <v>36</v>
      </c>
      <c r="B6" s="4">
        <v>498</v>
      </c>
      <c r="C6" s="4">
        <v>0</v>
      </c>
      <c r="D6" s="4">
        <v>189</v>
      </c>
      <c r="E6" s="4">
        <v>112</v>
      </c>
      <c r="F6" s="4">
        <v>200</v>
      </c>
      <c r="G6" s="4">
        <v>4</v>
      </c>
      <c r="H6" s="4">
        <v>146</v>
      </c>
      <c r="I6" s="5">
        <f>IF(COUNT(B6:F6,H6)&lt;6,"",SUM(B6:F6,H6))</f>
        <v>1145</v>
      </c>
      <c r="J6" s="5">
        <f>IF(I6="","",1440-I6)</f>
        <v>295</v>
      </c>
      <c r="K6" s="4" t="s">
        <v>22</v>
      </c>
      <c r="L6" s="4" t="s">
        <v>29</v>
      </c>
      <c r="M6" s="4" t="s">
        <v>24</v>
      </c>
      <c r="N6" s="6" t="s">
        <v>37</v>
      </c>
    </row>
    <row r="7" spans="1:14" ht="24" customHeight="1" x14ac:dyDescent="0.35">
      <c r="A7" s="3" t="s">
        <v>38</v>
      </c>
      <c r="B7" s="4">
        <v>467</v>
      </c>
      <c r="C7" s="13">
        <v>40</v>
      </c>
      <c r="D7" s="13">
        <v>141</v>
      </c>
      <c r="E7" s="13">
        <v>261</v>
      </c>
      <c r="F7" s="13">
        <v>0</v>
      </c>
      <c r="G7" s="13">
        <v>0</v>
      </c>
      <c r="H7" s="13">
        <v>170</v>
      </c>
      <c r="I7" s="5">
        <f t="shared" ref="I7:I12" si="0">IF(COUNT(B7:F7,H7)&lt;6,"",SUM(B7:F7,H7))</f>
        <v>1079</v>
      </c>
      <c r="J7" s="5">
        <f>IF(I7="","",1440-I7)</f>
        <v>361</v>
      </c>
      <c r="K7" s="4" t="s">
        <v>22</v>
      </c>
      <c r="L7" s="4" t="s">
        <v>23</v>
      </c>
      <c r="M7" s="4" t="s">
        <v>27</v>
      </c>
      <c r="N7" s="6" t="s">
        <v>37</v>
      </c>
    </row>
    <row r="8" spans="1:14" ht="24" customHeight="1" x14ac:dyDescent="0.35">
      <c r="A8" s="3" t="s">
        <v>39</v>
      </c>
      <c r="B8" s="4">
        <v>539</v>
      </c>
      <c r="C8" s="13">
        <v>40</v>
      </c>
      <c r="D8" s="13">
        <v>94</v>
      </c>
      <c r="E8" s="13">
        <v>107</v>
      </c>
      <c r="F8" s="13">
        <v>0</v>
      </c>
      <c r="G8" s="13">
        <v>0</v>
      </c>
      <c r="H8" s="13">
        <v>260</v>
      </c>
      <c r="I8" s="5">
        <f t="shared" si="0"/>
        <v>1040</v>
      </c>
      <c r="J8" s="5">
        <f t="shared" ref="J8:J12" si="1">IF(I8="","",1440-I8)</f>
        <v>400</v>
      </c>
      <c r="K8" s="4" t="s">
        <v>25</v>
      </c>
      <c r="L8" s="4" t="s">
        <v>26</v>
      </c>
      <c r="M8" s="4" t="s">
        <v>27</v>
      </c>
      <c r="N8" s="6" t="s">
        <v>40</v>
      </c>
    </row>
    <row r="9" spans="1:14" ht="24" customHeight="1" x14ac:dyDescent="0.35">
      <c r="A9" s="3" t="s">
        <v>41</v>
      </c>
      <c r="B9" s="4">
        <v>560</v>
      </c>
      <c r="C9" s="13">
        <v>40</v>
      </c>
      <c r="D9" s="13">
        <v>129</v>
      </c>
      <c r="E9" s="13">
        <v>94</v>
      </c>
      <c r="F9" s="13">
        <v>200</v>
      </c>
      <c r="G9" s="13">
        <v>4</v>
      </c>
      <c r="H9" s="13">
        <v>260</v>
      </c>
      <c r="I9" s="5">
        <f t="shared" si="0"/>
        <v>1283</v>
      </c>
      <c r="J9" s="5">
        <f t="shared" si="1"/>
        <v>157</v>
      </c>
      <c r="K9" s="4" t="s">
        <v>22</v>
      </c>
      <c r="L9" s="4" t="s">
        <v>23</v>
      </c>
      <c r="M9" s="4" t="s">
        <v>24</v>
      </c>
      <c r="N9" s="6" t="s">
        <v>37</v>
      </c>
    </row>
    <row r="10" spans="1:14" ht="24" customHeight="1" x14ac:dyDescent="0.35">
      <c r="A10" s="3" t="s">
        <v>42</v>
      </c>
      <c r="B10" s="4">
        <v>487</v>
      </c>
      <c r="C10" s="13">
        <v>30</v>
      </c>
      <c r="D10" s="13">
        <v>127</v>
      </c>
      <c r="E10" s="13">
        <v>78</v>
      </c>
      <c r="F10" s="13">
        <v>200</v>
      </c>
      <c r="G10" s="13">
        <v>4</v>
      </c>
      <c r="H10" s="13">
        <v>158</v>
      </c>
      <c r="I10" s="5">
        <f t="shared" si="0"/>
        <v>1080</v>
      </c>
      <c r="J10" s="5">
        <f t="shared" si="1"/>
        <v>360</v>
      </c>
      <c r="K10" s="4" t="s">
        <v>25</v>
      </c>
      <c r="L10" s="4" t="s">
        <v>26</v>
      </c>
      <c r="M10" s="4" t="s">
        <v>27</v>
      </c>
      <c r="N10" s="6" t="s">
        <v>40</v>
      </c>
    </row>
    <row r="11" spans="1:14" ht="24" customHeight="1" x14ac:dyDescent="0.35">
      <c r="A11" s="3" t="s">
        <v>43</v>
      </c>
      <c r="B11" s="4">
        <v>472</v>
      </c>
      <c r="C11" s="13">
        <v>60</v>
      </c>
      <c r="D11" s="13">
        <v>145</v>
      </c>
      <c r="E11" s="13">
        <v>200</v>
      </c>
      <c r="F11" s="13">
        <v>150</v>
      </c>
      <c r="G11" s="13">
        <v>3</v>
      </c>
      <c r="H11" s="13">
        <v>148</v>
      </c>
      <c r="I11" s="5">
        <f t="shared" si="0"/>
        <v>1175</v>
      </c>
      <c r="J11" s="5">
        <f t="shared" si="1"/>
        <v>265</v>
      </c>
      <c r="K11" s="4" t="s">
        <v>25</v>
      </c>
      <c r="L11" s="4" t="s">
        <v>23</v>
      </c>
      <c r="M11" s="4" t="s">
        <v>27</v>
      </c>
      <c r="N11" s="6" t="s">
        <v>37</v>
      </c>
    </row>
    <row r="12" spans="1:14" ht="24" customHeight="1" x14ac:dyDescent="0.35">
      <c r="A12" s="3"/>
      <c r="B12" s="4"/>
      <c r="C12" s="13"/>
      <c r="D12" s="13"/>
      <c r="E12" s="13"/>
      <c r="F12" s="13"/>
      <c r="G12" s="13"/>
      <c r="H12" s="13"/>
      <c r="I12" s="5"/>
      <c r="J12" s="5"/>
      <c r="K12" s="4"/>
      <c r="L12" s="4"/>
      <c r="M12" s="4"/>
      <c r="N12" s="6"/>
    </row>
  </sheetData>
  <mergeCells count="1">
    <mergeCell ref="A1:N1"/>
  </mergeCells>
  <conditionalFormatting sqref="I6:J12">
    <cfRule type="expression" dxfId="0" priority="2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K6:K12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L6:L12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7" t="s">
        <v>18</v>
      </c>
      <c r="B3" s="7" t="s">
        <v>19</v>
      </c>
      <c r="D3" s="7" t="s">
        <v>20</v>
      </c>
      <c r="E3" s="7" t="s">
        <v>19</v>
      </c>
      <c r="G3" s="7" t="s">
        <v>21</v>
      </c>
      <c r="H3" s="7" t="s">
        <v>19</v>
      </c>
    </row>
    <row r="4" spans="1:8" x14ac:dyDescent="0.35">
      <c r="A4" s="8" t="s">
        <v>22</v>
      </c>
      <c r="B4" s="8">
        <v>5</v>
      </c>
      <c r="D4" s="8" t="s">
        <v>23</v>
      </c>
      <c r="E4" s="8">
        <v>5</v>
      </c>
      <c r="G4" s="8" t="s">
        <v>24</v>
      </c>
      <c r="H4" s="8">
        <v>3</v>
      </c>
    </row>
    <row r="5" spans="1:8" x14ac:dyDescent="0.35">
      <c r="A5" s="8" t="s">
        <v>25</v>
      </c>
      <c r="B5" s="8">
        <v>4</v>
      </c>
      <c r="D5" s="8" t="s">
        <v>26</v>
      </c>
      <c r="E5" s="8">
        <v>4</v>
      </c>
      <c r="G5" s="8" t="s">
        <v>27</v>
      </c>
      <c r="H5" s="8">
        <v>2</v>
      </c>
    </row>
    <row r="6" spans="1:8" x14ac:dyDescent="0.35">
      <c r="A6" s="8" t="s">
        <v>28</v>
      </c>
      <c r="B6" s="8">
        <v>3</v>
      </c>
      <c r="D6" s="8" t="s">
        <v>29</v>
      </c>
      <c r="E6" s="8">
        <v>3</v>
      </c>
      <c r="G6" s="8" t="s">
        <v>30</v>
      </c>
      <c r="H6" s="8">
        <v>1</v>
      </c>
    </row>
    <row r="7" spans="1:8" x14ac:dyDescent="0.35">
      <c r="A7" s="8" t="s">
        <v>30</v>
      </c>
      <c r="B7" s="8">
        <v>2</v>
      </c>
      <c r="D7" s="8" t="s">
        <v>31</v>
      </c>
      <c r="E7" s="8">
        <v>2</v>
      </c>
    </row>
    <row r="8" spans="1:8" x14ac:dyDescent="0.35">
      <c r="A8" s="8" t="s">
        <v>32</v>
      </c>
      <c r="B8" s="8">
        <v>1</v>
      </c>
      <c r="D8" s="8" t="s">
        <v>33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2026-09-23T11:04:11Z</dcterms:modified>
  <dc:language>en-US</dc:language>
</cp:coreProperties>
</file>