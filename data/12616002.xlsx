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AP776\data\"/>
    </mc:Choice>
  </mc:AlternateContent>
  <xr:revisionPtr revIDLastSave="0" documentId="13_ncr:1_{1C7E2442-709D-4825-B9E9-51357722E68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ctivity Log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1" l="1"/>
  <c r="J15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12" i="1"/>
  <c r="J12" i="1" s="1"/>
  <c r="J11" i="1"/>
  <c r="J10" i="1"/>
  <c r="J7" i="1"/>
  <c r="I7" i="1"/>
  <c r="I8" i="1"/>
  <c r="J8" i="1" s="1"/>
  <c r="I9" i="1"/>
  <c r="J9" i="1" s="1"/>
  <c r="I10" i="1"/>
  <c r="I11" i="1"/>
  <c r="I6" i="1"/>
  <c r="J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Add your section after MCA, e.g. 'MCA / K26XX'.</t>
        </r>
      </text>
    </comment>
  </commentList>
</comments>
</file>

<file path=xl/sharedStrings.xml><?xml version="1.0" encoding="utf-8"?>
<sst xmlns="http://schemas.openxmlformats.org/spreadsheetml/2006/main" count="136" uniqueCount="41">
  <si>
    <t>My Data, My Story</t>
  </si>
  <si>
    <t>Name:</t>
  </si>
  <si>
    <t>Registration:</t>
  </si>
  <si>
    <t>Course / Sec: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</si>
  <si>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</si>
  <si>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</si>
  <si>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</si>
  <si>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</si>
  <si>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</si>
  <si>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</si>
  <si>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</si>
  <si>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</si>
  <si>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</si>
  <si>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</si>
  <si>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</si>
  <si>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</si>
  <si>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</si>
  <si>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</si>
  <si>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Feeling</t>
  </si>
  <si>
    <t>Score</t>
  </si>
  <si>
    <t>Satisfaction</t>
  </si>
  <si>
    <t>Energy</t>
  </si>
  <si>
    <t>Excellent</t>
  </si>
  <si>
    <t>Very Satisfied</t>
  </si>
  <si>
    <t>High</t>
  </si>
  <si>
    <t>Good</t>
  </si>
  <si>
    <t>Satisfied</t>
  </si>
  <si>
    <t>Medium</t>
  </si>
  <si>
    <t>Okay</t>
  </si>
  <si>
    <t>Neutral</t>
  </si>
  <si>
    <t>Low</t>
  </si>
  <si>
    <t>Dissatisfied</t>
  </si>
  <si>
    <t>Very Low</t>
  </si>
  <si>
    <t>Very Dissatisfied</t>
  </si>
  <si>
    <t>SAURABH KUMAR PANDEY</t>
  </si>
  <si>
    <t>MCA-D1P2633</t>
  </si>
  <si>
    <t>Consistent routine</t>
  </si>
  <si>
    <t>High productivity</t>
  </si>
  <si>
    <t>Balanced day</t>
  </si>
  <si>
    <t>2026-08-29</t>
  </si>
  <si>
    <t>Good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</si>
</sst>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b/>
      <sz val="28"/>
      <color rgb="FF1F4E79"/>
      <name val="Arial"/>
      <family val="2"/>
    </font>
    <font>
      <sz val="11"/>
      <name val="Arial"/>
      <family val="2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9"/>
        <bgColor rgb="FF003366"/>
      </patternFill>
    </fill>
    <fill>
      <patternFill patternType="solid">
        <fgColor rgb="FFE7E6E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2" fillId="0" borderId="0" xfId="0" applyFont="1"/>
    <xf numFmtId="0" fontId="4" fillId="3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0" xfId="0" applyFont="1" applyFill="1"/>
    <xf numFmtId="0" fontId="7" fillId="2" borderId="0" xfId="0" applyFont="1" applyFill="1"/>
    <xf numFmtId="0" fontId="2" fillId="2" borderId="3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zoomScaleNormal="100" workbookViewId="0">
      <pane xSplit="1" ySplit="5" topLeftCell="B22" activePane="bottomRight" state="frozen"/>
      <selection pane="topRight" activeCell="B1" sqref="B1"/>
      <selection pane="bottomLeft" activeCell="A6" sqref="A6"/>
      <selection pane="bottomRight" activeCell="N30" sqref="N30"/>
    </sheetView>
  </sheetViews>
  <sheetFormatPr defaultColWidth="8.6328125" defaultRowHeight="14.5" x14ac:dyDescent="0.35"/>
  <cols>
    <col min="1" max="1" width="14.1796875" bestFit="1" customWidth="1"/>
    <col min="2" max="2" width="16.6328125" customWidth="1"/>
    <col min="3" max="4" width="11" customWidth="1"/>
    <col min="5" max="5" width="13.6328125" bestFit="1" customWidth="1"/>
    <col min="6" max="7" width="11" customWidth="1"/>
    <col min="8" max="8" width="14" customWidth="1"/>
    <col min="9" max="9" width="12.08984375" customWidth="1"/>
    <col min="10" max="10" width="14.54296875" bestFit="1" customWidth="1"/>
    <col min="11" max="11" width="15" customWidth="1"/>
    <col min="12" max="12" width="17" customWidth="1"/>
    <col min="13" max="13" width="12" customWidth="1"/>
    <col min="14" max="14" width="33.453125" customWidth="1"/>
  </cols>
  <sheetData>
    <row r="1" spans="1:14" ht="40.2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9" t="s">
        <v>1</v>
      </c>
      <c r="B2" s="10" t="s">
        <v>34</v>
      </c>
      <c r="E2" s="9" t="s">
        <v>2</v>
      </c>
      <c r="F2" s="10">
        <v>12616002</v>
      </c>
    </row>
    <row r="3" spans="1:14" x14ac:dyDescent="0.35">
      <c r="A3" s="9" t="s">
        <v>3</v>
      </c>
      <c r="B3" s="11" t="s">
        <v>35</v>
      </c>
    </row>
    <row r="4" spans="1:14" x14ac:dyDescent="0.35">
      <c r="A4" s="1"/>
    </row>
    <row r="5" spans="1:14" ht="61.25" customHeight="1" x14ac:dyDescent="0.35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</row>
    <row r="6" spans="1:14" ht="24" customHeight="1" x14ac:dyDescent="0.35">
      <c r="A6" s="13">
        <v>46255</v>
      </c>
      <c r="B6" s="3">
        <v>498</v>
      </c>
      <c r="C6" s="3">
        <v>0</v>
      </c>
      <c r="D6" s="3">
        <v>189</v>
      </c>
      <c r="E6" s="3">
        <v>112</v>
      </c>
      <c r="F6" s="3">
        <v>200</v>
      </c>
      <c r="G6" s="3">
        <v>4</v>
      </c>
      <c r="H6" s="3">
        <v>146</v>
      </c>
      <c r="I6" s="4">
        <f>IF(COUNT(B6:F6,H6)&lt;6,"",SUM(B6:F6,H6))</f>
        <v>1145</v>
      </c>
      <c r="J6" s="4">
        <f>IF(I6="","",1440-I6)</f>
        <v>295</v>
      </c>
      <c r="K6" s="3" t="s">
        <v>22</v>
      </c>
      <c r="L6" s="3" t="s">
        <v>29</v>
      </c>
      <c r="M6" s="3" t="s">
        <v>24</v>
      </c>
      <c r="N6" s="5" t="s">
        <v>36</v>
      </c>
    </row>
    <row r="7" spans="1:14" ht="24" customHeight="1" x14ac:dyDescent="0.35">
      <c r="A7" s="13">
        <v>46256</v>
      </c>
      <c r="B7" s="3">
        <v>467</v>
      </c>
      <c r="C7" s="12">
        <v>40</v>
      </c>
      <c r="D7" s="12">
        <v>141</v>
      </c>
      <c r="E7" s="12">
        <v>261</v>
      </c>
      <c r="F7" s="12">
        <v>0</v>
      </c>
      <c r="G7" s="12">
        <v>0</v>
      </c>
      <c r="H7" s="12">
        <v>170</v>
      </c>
      <c r="I7" s="4">
        <f t="shared" ref="I7:I12" si="0">IF(COUNT(B7:F7,H7)&lt;6,"",SUM(B7:F7,H7))</f>
        <v>1079</v>
      </c>
      <c r="J7" s="4">
        <f>IF(I7="","",1440-I7)</f>
        <v>361</v>
      </c>
      <c r="K7" s="3" t="s">
        <v>22</v>
      </c>
      <c r="L7" s="3" t="s">
        <v>23</v>
      </c>
      <c r="M7" s="3" t="s">
        <v>27</v>
      </c>
      <c r="N7" s="5" t="s">
        <v>36</v>
      </c>
    </row>
    <row r="8" spans="1:14" ht="24" customHeight="1" x14ac:dyDescent="0.35">
      <c r="A8" s="13">
        <v>46257</v>
      </c>
      <c r="B8" s="3">
        <v>539</v>
      </c>
      <c r="C8" s="12">
        <v>40</v>
      </c>
      <c r="D8" s="12">
        <v>94</v>
      </c>
      <c r="E8" s="12">
        <v>107</v>
      </c>
      <c r="F8" s="12">
        <v>0</v>
      </c>
      <c r="G8" s="12">
        <v>0</v>
      </c>
      <c r="H8" s="12">
        <v>260</v>
      </c>
      <c r="I8" s="4">
        <f t="shared" si="0"/>
        <v>1040</v>
      </c>
      <c r="J8" s="4">
        <f t="shared" ref="J8:J12" si="1">IF(I8="","",1440-I8)</f>
        <v>400</v>
      </c>
      <c r="K8" s="3" t="s">
        <v>25</v>
      </c>
      <c r="L8" s="3" t="s">
        <v>26</v>
      </c>
      <c r="M8" s="3" t="s">
        <v>27</v>
      </c>
      <c r="N8" s="5" t="s">
        <v>37</v>
      </c>
    </row>
    <row r="9" spans="1:14" ht="24" customHeight="1" x14ac:dyDescent="0.35">
      <c r="A9" s="13">
        <v>46258</v>
      </c>
      <c r="B9" s="3">
        <v>560</v>
      </c>
      <c r="C9" s="12">
        <v>40</v>
      </c>
      <c r="D9" s="12">
        <v>129</v>
      </c>
      <c r="E9" s="12">
        <v>94</v>
      </c>
      <c r="F9" s="12">
        <v>200</v>
      </c>
      <c r="G9" s="12">
        <v>4</v>
      </c>
      <c r="H9" s="12">
        <v>260</v>
      </c>
      <c r="I9" s="4">
        <f t="shared" si="0"/>
        <v>1283</v>
      </c>
      <c r="J9" s="4">
        <f t="shared" si="1"/>
        <v>157</v>
      </c>
      <c r="K9" s="3" t="s">
        <v>22</v>
      </c>
      <c r="L9" s="3" t="s">
        <v>23</v>
      </c>
      <c r="M9" s="3" t="s">
        <v>24</v>
      </c>
      <c r="N9" s="5" t="s">
        <v>36</v>
      </c>
    </row>
    <row r="10" spans="1:14" ht="24" customHeight="1" x14ac:dyDescent="0.35">
      <c r="A10" s="13">
        <v>46259</v>
      </c>
      <c r="B10" s="3">
        <v>487</v>
      </c>
      <c r="C10" s="12">
        <v>30</v>
      </c>
      <c r="D10" s="12">
        <v>127</v>
      </c>
      <c r="E10" s="12">
        <v>78</v>
      </c>
      <c r="F10" s="12">
        <v>200</v>
      </c>
      <c r="G10" s="12">
        <v>4</v>
      </c>
      <c r="H10" s="12">
        <v>158</v>
      </c>
      <c r="I10" s="4">
        <f t="shared" si="0"/>
        <v>1080</v>
      </c>
      <c r="J10" s="4">
        <f t="shared" si="1"/>
        <v>360</v>
      </c>
      <c r="K10" s="3" t="s">
        <v>25</v>
      </c>
      <c r="L10" s="3" t="s">
        <v>26</v>
      </c>
      <c r="M10" s="3" t="s">
        <v>27</v>
      </c>
      <c r="N10" s="5" t="s">
        <v>37</v>
      </c>
    </row>
    <row r="11" spans="1:14" ht="24" customHeight="1" x14ac:dyDescent="0.35">
      <c r="A11" s="13">
        <v>46260</v>
      </c>
      <c r="B11" s="3">
        <v>472</v>
      </c>
      <c r="C11" s="12">
        <v>60</v>
      </c>
      <c r="D11" s="12">
        <v>145</v>
      </c>
      <c r="E11" s="12">
        <v>200</v>
      </c>
      <c r="F11" s="12">
        <v>150</v>
      </c>
      <c r="G11" s="12">
        <v>3</v>
      </c>
      <c r="H11" s="12">
        <v>148</v>
      </c>
      <c r="I11" s="4">
        <f t="shared" si="0"/>
        <v>1175</v>
      </c>
      <c r="J11" s="4">
        <f t="shared" si="1"/>
        <v>265</v>
      </c>
      <c r="K11" s="3" t="s">
        <v>25</v>
      </c>
      <c r="L11" s="3" t="s">
        <v>23</v>
      </c>
      <c r="M11" s="3" t="s">
        <v>27</v>
      </c>
      <c r="N11" s="5" t="s">
        <v>36</v>
      </c>
    </row>
    <row r="12" spans="1:14" ht="24" customHeight="1" x14ac:dyDescent="0.35">
      <c r="A12" s="13">
        <v>46261</v>
      </c>
      <c r="B12" s="3">
        <v>527</v>
      </c>
      <c r="C12" s="12">
        <v>0</v>
      </c>
      <c r="D12" s="12">
        <v>73</v>
      </c>
      <c r="E12" s="12">
        <v>76</v>
      </c>
      <c r="F12" s="12">
        <v>200</v>
      </c>
      <c r="G12" s="12">
        <v>4</v>
      </c>
      <c r="H12" s="12">
        <v>123</v>
      </c>
      <c r="I12" s="4">
        <f t="shared" si="0"/>
        <v>999</v>
      </c>
      <c r="J12" s="4">
        <f t="shared" si="1"/>
        <v>441</v>
      </c>
      <c r="K12" s="3" t="s">
        <v>28</v>
      </c>
      <c r="L12" s="3" t="s">
        <v>29</v>
      </c>
      <c r="M12" s="3" t="s">
        <v>27</v>
      </c>
      <c r="N12" s="5" t="s">
        <v>38</v>
      </c>
    </row>
    <row r="13" spans="1:14" x14ac:dyDescent="0.35">
      <c r="A13" s="13">
        <v>46262</v>
      </c>
      <c r="B13" s="3">
        <v>391</v>
      </c>
      <c r="C13" s="12">
        <v>30</v>
      </c>
      <c r="D13" s="12">
        <v>112</v>
      </c>
      <c r="E13" s="12">
        <v>190</v>
      </c>
      <c r="F13" s="12">
        <v>200</v>
      </c>
      <c r="G13" s="12">
        <v>4</v>
      </c>
      <c r="H13" s="12">
        <v>157</v>
      </c>
      <c r="I13" s="4">
        <f t="shared" ref="I13:I53" si="2">IF(COUNT(B13:F13,H13)&lt;6,"",SUM(B13:F13,H13))</f>
        <v>1080</v>
      </c>
      <c r="J13" s="4">
        <f t="shared" ref="J13:J53" si="3">IF(I13="","",1440-I13)</f>
        <v>360</v>
      </c>
      <c r="K13" s="3" t="s">
        <v>22</v>
      </c>
      <c r="L13" s="3" t="s">
        <v>26</v>
      </c>
      <c r="M13" s="3" t="s">
        <v>24</v>
      </c>
      <c r="N13" s="5" t="s">
        <v>37</v>
      </c>
    </row>
    <row r="14" spans="1:14" x14ac:dyDescent="0.35">
      <c r="A14" s="13" t="s">
        <v>39</v>
      </c>
      <c r="B14" s="3">
        <v>413</v>
      </c>
      <c r="C14" s="12">
        <v>0</v>
      </c>
      <c r="D14" s="12">
        <v>102</v>
      </c>
      <c r="E14" s="12">
        <v>174</v>
      </c>
      <c r="F14" s="12">
        <v>0</v>
      </c>
      <c r="G14" s="12">
        <v>0</v>
      </c>
      <c r="H14" s="12">
        <v>280</v>
      </c>
      <c r="I14" s="4">
        <f t="shared" si="2"/>
        <v>969</v>
      </c>
      <c r="J14" s="4">
        <f t="shared" si="3"/>
        <v>471</v>
      </c>
      <c r="K14" s="3" t="s">
        <v>25</v>
      </c>
      <c r="L14" s="3" t="s">
        <v>26</v>
      </c>
      <c r="M14" s="3" t="s">
        <v>24</v>
      </c>
      <c r="N14" s="5" t="s">
        <v>38</v>
      </c>
    </row>
    <row r="15" spans="1:14" x14ac:dyDescent="0.35">
      <c r="A15" s="13">
        <v>46264</v>
      </c>
      <c r="B15" s="3">
        <v>454</v>
      </c>
      <c r="C15" s="12">
        <v>0</v>
      </c>
      <c r="D15" s="12">
        <v>127</v>
      </c>
      <c r="E15" s="12">
        <v>149</v>
      </c>
      <c r="F15" s="12">
        <v>0</v>
      </c>
      <c r="G15" s="12">
        <v>0</v>
      </c>
      <c r="H15" s="12">
        <v>209</v>
      </c>
      <c r="I15" s="4">
        <f t="shared" si="2"/>
        <v>939</v>
      </c>
      <c r="J15" s="4">
        <f t="shared" si="3"/>
        <v>501</v>
      </c>
      <c r="K15" s="3" t="s">
        <v>25</v>
      </c>
      <c r="L15" s="3" t="s">
        <v>29</v>
      </c>
      <c r="M15" s="3" t="s">
        <v>27</v>
      </c>
      <c r="N15" s="5" t="s">
        <v>37</v>
      </c>
    </row>
    <row r="16" spans="1:14" x14ac:dyDescent="0.35">
      <c r="A16" s="13">
        <v>46265</v>
      </c>
      <c r="B16" s="3">
        <v>475</v>
      </c>
      <c r="C16" s="12">
        <v>60</v>
      </c>
      <c r="D16" s="12">
        <v>126</v>
      </c>
      <c r="E16" s="12">
        <v>284</v>
      </c>
      <c r="F16" s="12">
        <v>200</v>
      </c>
      <c r="G16" s="12">
        <v>4</v>
      </c>
      <c r="H16" s="12">
        <v>150</v>
      </c>
      <c r="I16" s="4">
        <f t="shared" si="2"/>
        <v>1295</v>
      </c>
      <c r="J16" s="4">
        <f t="shared" si="3"/>
        <v>145</v>
      </c>
      <c r="K16" s="3" t="s">
        <v>30</v>
      </c>
      <c r="L16" s="3" t="s">
        <v>26</v>
      </c>
      <c r="M16" s="3" t="s">
        <v>27</v>
      </c>
      <c r="N16" s="5" t="s">
        <v>40</v>
      </c>
    </row>
    <row r="17" spans="1:14" x14ac:dyDescent="0.35">
      <c r="A17" s="13">
        <v>46266</v>
      </c>
      <c r="B17" s="3">
        <v>466</v>
      </c>
      <c r="C17" s="12">
        <v>0</v>
      </c>
      <c r="D17" s="12">
        <v>129</v>
      </c>
      <c r="E17" s="12">
        <v>132</v>
      </c>
      <c r="F17" s="12">
        <v>200</v>
      </c>
      <c r="G17" s="12">
        <v>4</v>
      </c>
      <c r="H17" s="12">
        <v>193</v>
      </c>
      <c r="I17" s="4">
        <f t="shared" si="2"/>
        <v>1120</v>
      </c>
      <c r="J17" s="4">
        <f t="shared" si="3"/>
        <v>320</v>
      </c>
      <c r="K17" s="3" t="s">
        <v>28</v>
      </c>
      <c r="L17" s="3" t="s">
        <v>29</v>
      </c>
      <c r="M17" s="3" t="s">
        <v>27</v>
      </c>
      <c r="N17" s="5" t="s">
        <v>38</v>
      </c>
    </row>
    <row r="18" spans="1:14" x14ac:dyDescent="0.35">
      <c r="A18" s="13">
        <v>46267</v>
      </c>
      <c r="B18" s="3">
        <v>467</v>
      </c>
      <c r="C18" s="12">
        <v>30</v>
      </c>
      <c r="D18" s="12">
        <v>140</v>
      </c>
      <c r="E18" s="12">
        <v>184</v>
      </c>
      <c r="F18" s="12">
        <v>200</v>
      </c>
      <c r="G18" s="12">
        <v>4</v>
      </c>
      <c r="H18" s="12">
        <v>133</v>
      </c>
      <c r="I18" s="4">
        <f t="shared" si="2"/>
        <v>1154</v>
      </c>
      <c r="J18" s="4">
        <f t="shared" si="3"/>
        <v>286</v>
      </c>
      <c r="K18" s="3" t="s">
        <v>30</v>
      </c>
      <c r="L18" s="3" t="s">
        <v>26</v>
      </c>
      <c r="M18" s="3" t="s">
        <v>30</v>
      </c>
      <c r="N18" s="5" t="s">
        <v>40</v>
      </c>
    </row>
    <row r="19" spans="1:14" x14ac:dyDescent="0.35">
      <c r="A19" s="13">
        <v>46268</v>
      </c>
      <c r="B19" s="3">
        <v>492</v>
      </c>
      <c r="C19" s="12">
        <v>30</v>
      </c>
      <c r="D19" s="12">
        <v>114</v>
      </c>
      <c r="E19" s="12">
        <v>98</v>
      </c>
      <c r="F19" s="12">
        <v>150</v>
      </c>
      <c r="G19" s="12">
        <v>3</v>
      </c>
      <c r="H19" s="12">
        <v>195</v>
      </c>
      <c r="I19" s="4">
        <f t="shared" si="2"/>
        <v>1079</v>
      </c>
      <c r="J19" s="4">
        <f t="shared" si="3"/>
        <v>361</v>
      </c>
      <c r="K19" s="3" t="s">
        <v>25</v>
      </c>
      <c r="L19" s="3" t="s">
        <v>26</v>
      </c>
      <c r="M19" s="3" t="s">
        <v>27</v>
      </c>
      <c r="N19" s="5" t="s">
        <v>38</v>
      </c>
    </row>
    <row r="20" spans="1:14" x14ac:dyDescent="0.35">
      <c r="A20" s="13">
        <v>46269</v>
      </c>
      <c r="B20" s="3">
        <v>462</v>
      </c>
      <c r="C20" s="12">
        <v>30</v>
      </c>
      <c r="D20" s="12">
        <v>143</v>
      </c>
      <c r="E20" s="12">
        <v>120</v>
      </c>
      <c r="F20" s="12">
        <v>250</v>
      </c>
      <c r="G20" s="12">
        <v>5</v>
      </c>
      <c r="H20" s="12">
        <v>234</v>
      </c>
      <c r="I20" s="4">
        <f t="shared" si="2"/>
        <v>1239</v>
      </c>
      <c r="J20" s="4">
        <f t="shared" si="3"/>
        <v>201</v>
      </c>
      <c r="K20" s="3" t="s">
        <v>25</v>
      </c>
      <c r="L20" s="3" t="s">
        <v>31</v>
      </c>
      <c r="M20" s="3" t="s">
        <v>27</v>
      </c>
      <c r="N20" s="5" t="s">
        <v>40</v>
      </c>
    </row>
    <row r="21" spans="1:14" x14ac:dyDescent="0.35">
      <c r="A21" s="13">
        <v>46270</v>
      </c>
      <c r="B21" s="3">
        <v>485</v>
      </c>
      <c r="C21" s="12">
        <v>0</v>
      </c>
      <c r="D21" s="12">
        <v>108</v>
      </c>
      <c r="E21" s="12">
        <v>197</v>
      </c>
      <c r="F21" s="12">
        <v>0</v>
      </c>
      <c r="G21" s="12">
        <v>0</v>
      </c>
      <c r="H21" s="12">
        <v>129</v>
      </c>
      <c r="I21" s="4">
        <f t="shared" si="2"/>
        <v>919</v>
      </c>
      <c r="J21" s="4">
        <f t="shared" si="3"/>
        <v>521</v>
      </c>
      <c r="K21" s="3" t="s">
        <v>28</v>
      </c>
      <c r="L21" s="3" t="s">
        <v>29</v>
      </c>
      <c r="M21" s="3" t="s">
        <v>30</v>
      </c>
      <c r="N21" s="5" t="s">
        <v>40</v>
      </c>
    </row>
    <row r="22" spans="1:14" x14ac:dyDescent="0.35">
      <c r="A22" s="13">
        <v>46271</v>
      </c>
      <c r="B22" s="3">
        <v>473</v>
      </c>
      <c r="C22" s="12">
        <v>40</v>
      </c>
      <c r="D22" s="12">
        <v>107</v>
      </c>
      <c r="E22" s="12">
        <v>121</v>
      </c>
      <c r="F22" s="12">
        <v>0</v>
      </c>
      <c r="G22" s="12">
        <v>0</v>
      </c>
      <c r="H22" s="12">
        <v>243</v>
      </c>
      <c r="I22" s="4">
        <f t="shared" si="2"/>
        <v>984</v>
      </c>
      <c r="J22" s="4">
        <f t="shared" si="3"/>
        <v>456</v>
      </c>
      <c r="K22" s="3" t="s">
        <v>25</v>
      </c>
      <c r="L22" s="3" t="s">
        <v>23</v>
      </c>
      <c r="M22" s="3" t="s">
        <v>27</v>
      </c>
      <c r="N22" s="5" t="s">
        <v>37</v>
      </c>
    </row>
    <row r="23" spans="1:14" x14ac:dyDescent="0.35">
      <c r="A23" s="13">
        <v>46272</v>
      </c>
      <c r="B23" s="3">
        <v>440</v>
      </c>
      <c r="C23" s="12">
        <v>30</v>
      </c>
      <c r="D23" s="12">
        <v>130</v>
      </c>
      <c r="E23" s="12">
        <v>158</v>
      </c>
      <c r="F23" s="12">
        <v>100</v>
      </c>
      <c r="G23" s="12">
        <v>2</v>
      </c>
      <c r="H23" s="12">
        <v>279</v>
      </c>
      <c r="I23" s="4">
        <f t="shared" si="2"/>
        <v>1137</v>
      </c>
      <c r="J23" s="4">
        <f t="shared" si="3"/>
        <v>303</v>
      </c>
      <c r="K23" s="3" t="s">
        <v>32</v>
      </c>
      <c r="L23" s="3" t="s">
        <v>29</v>
      </c>
      <c r="M23" s="3" t="s">
        <v>27</v>
      </c>
      <c r="N23" s="5" t="s">
        <v>40</v>
      </c>
    </row>
    <row r="24" spans="1:14" x14ac:dyDescent="0.35">
      <c r="A24" s="13">
        <v>46273</v>
      </c>
      <c r="B24" s="3">
        <v>429</v>
      </c>
      <c r="C24" s="12">
        <v>30</v>
      </c>
      <c r="D24" s="12">
        <v>125</v>
      </c>
      <c r="E24" s="12">
        <v>194</v>
      </c>
      <c r="F24" s="12">
        <v>200</v>
      </c>
      <c r="G24" s="12">
        <v>4</v>
      </c>
      <c r="H24" s="12">
        <v>246</v>
      </c>
      <c r="I24" s="4">
        <f t="shared" si="2"/>
        <v>1224</v>
      </c>
      <c r="J24" s="4">
        <f t="shared" si="3"/>
        <v>216</v>
      </c>
      <c r="K24" s="3" t="s">
        <v>32</v>
      </c>
      <c r="L24" s="3" t="s">
        <v>29</v>
      </c>
      <c r="M24" s="3" t="s">
        <v>27</v>
      </c>
      <c r="N24" s="5" t="s">
        <v>37</v>
      </c>
    </row>
    <row r="25" spans="1:14" x14ac:dyDescent="0.35">
      <c r="A25" s="13">
        <v>46274</v>
      </c>
      <c r="B25" s="3">
        <v>422</v>
      </c>
      <c r="C25" s="12">
        <v>40</v>
      </c>
      <c r="D25" s="12">
        <v>90</v>
      </c>
      <c r="E25" s="12">
        <v>164</v>
      </c>
      <c r="F25" s="12">
        <v>200</v>
      </c>
      <c r="G25" s="12">
        <v>4</v>
      </c>
      <c r="H25" s="12">
        <v>172</v>
      </c>
      <c r="I25" s="4">
        <f t="shared" si="2"/>
        <v>1088</v>
      </c>
      <c r="J25" s="4">
        <f t="shared" si="3"/>
        <v>352</v>
      </c>
      <c r="K25" s="3" t="s">
        <v>25</v>
      </c>
      <c r="L25" s="3" t="s">
        <v>29</v>
      </c>
      <c r="M25" s="3" t="s">
        <v>30</v>
      </c>
      <c r="N25" s="5" t="s">
        <v>36</v>
      </c>
    </row>
    <row r="26" spans="1:14" x14ac:dyDescent="0.35">
      <c r="A26" s="13">
        <v>46275</v>
      </c>
      <c r="B26" s="3">
        <v>479</v>
      </c>
      <c r="C26" s="12">
        <v>40</v>
      </c>
      <c r="D26" s="12">
        <v>186</v>
      </c>
      <c r="E26" s="12">
        <v>139</v>
      </c>
      <c r="F26" s="12">
        <v>100</v>
      </c>
      <c r="G26" s="12">
        <v>2</v>
      </c>
      <c r="H26" s="12">
        <v>247</v>
      </c>
      <c r="I26" s="4">
        <f t="shared" si="2"/>
        <v>1191</v>
      </c>
      <c r="J26" s="4">
        <f t="shared" si="3"/>
        <v>249</v>
      </c>
      <c r="K26" s="3" t="s">
        <v>25</v>
      </c>
      <c r="L26" s="3" t="s">
        <v>31</v>
      </c>
      <c r="M26" s="3" t="s">
        <v>27</v>
      </c>
      <c r="N26" s="5" t="s">
        <v>36</v>
      </c>
    </row>
    <row r="27" spans="1:14" x14ac:dyDescent="0.35">
      <c r="A27" s="13">
        <v>46276</v>
      </c>
      <c r="B27" s="3">
        <v>455</v>
      </c>
      <c r="C27" s="12">
        <v>40</v>
      </c>
      <c r="D27" s="12">
        <v>90</v>
      </c>
      <c r="E27" s="12">
        <v>162</v>
      </c>
      <c r="F27" s="12">
        <v>250</v>
      </c>
      <c r="G27" s="12">
        <v>5</v>
      </c>
      <c r="H27" s="12">
        <v>151</v>
      </c>
      <c r="I27" s="4">
        <f t="shared" si="2"/>
        <v>1148</v>
      </c>
      <c r="J27" s="4">
        <f t="shared" si="3"/>
        <v>292</v>
      </c>
      <c r="K27" s="3" t="s">
        <v>25</v>
      </c>
      <c r="L27" s="3" t="s">
        <v>26</v>
      </c>
      <c r="M27" s="3" t="s">
        <v>27</v>
      </c>
      <c r="N27" s="5" t="s">
        <v>37</v>
      </c>
    </row>
    <row r="28" spans="1:14" x14ac:dyDescent="0.35">
      <c r="A28" s="13">
        <v>46277</v>
      </c>
      <c r="B28" s="3">
        <v>536</v>
      </c>
      <c r="C28" s="12">
        <v>30</v>
      </c>
      <c r="D28" s="12">
        <v>74</v>
      </c>
      <c r="E28" s="12">
        <v>60</v>
      </c>
      <c r="F28" s="12">
        <v>0</v>
      </c>
      <c r="G28" s="12">
        <v>0</v>
      </c>
      <c r="H28" s="12">
        <v>147</v>
      </c>
      <c r="I28" s="4">
        <f t="shared" si="2"/>
        <v>847</v>
      </c>
      <c r="J28" s="4">
        <f t="shared" si="3"/>
        <v>593</v>
      </c>
      <c r="K28" s="3" t="s">
        <v>28</v>
      </c>
      <c r="L28" s="3" t="s">
        <v>31</v>
      </c>
      <c r="M28" s="3" t="s">
        <v>27</v>
      </c>
      <c r="N28" s="5" t="s">
        <v>40</v>
      </c>
    </row>
    <row r="29" spans="1:14" x14ac:dyDescent="0.35">
      <c r="A29" s="13">
        <v>46278</v>
      </c>
      <c r="B29" s="3">
        <v>469</v>
      </c>
      <c r="C29" s="12">
        <v>30</v>
      </c>
      <c r="D29" s="12">
        <v>154</v>
      </c>
      <c r="E29" s="12">
        <v>146</v>
      </c>
      <c r="F29" s="12">
        <v>0</v>
      </c>
      <c r="G29" s="12">
        <v>0</v>
      </c>
      <c r="H29" s="12">
        <v>308</v>
      </c>
      <c r="I29" s="4">
        <f t="shared" si="2"/>
        <v>1107</v>
      </c>
      <c r="J29" s="4">
        <f t="shared" si="3"/>
        <v>333</v>
      </c>
      <c r="K29" s="3" t="s">
        <v>28</v>
      </c>
      <c r="L29" s="3" t="s">
        <v>29</v>
      </c>
      <c r="M29" s="3" t="s">
        <v>27</v>
      </c>
      <c r="N29" s="5" t="s">
        <v>37</v>
      </c>
    </row>
    <row r="30" spans="1:14" x14ac:dyDescent="0.35">
      <c r="A30" s="13">
        <v>46279</v>
      </c>
      <c r="B30" s="3"/>
      <c r="C30" s="12"/>
      <c r="D30" s="12"/>
      <c r="E30" s="12"/>
      <c r="F30" s="12"/>
      <c r="G30" s="12"/>
      <c r="H30" s="12"/>
      <c r="I30" s="4" t="str">
        <f t="shared" si="2"/>
        <v/>
      </c>
      <c r="J30" s="4" t="str">
        <f t="shared" si="3"/>
        <v/>
      </c>
      <c r="K30" s="3"/>
      <c r="L30" s="3"/>
      <c r="M30" s="3"/>
      <c r="N30" s="5"/>
    </row>
    <row r="31" spans="1:14" x14ac:dyDescent="0.35">
      <c r="A31" s="13">
        <v>46280</v>
      </c>
      <c r="B31" s="3"/>
      <c r="C31" s="12"/>
      <c r="D31" s="12"/>
      <c r="E31" s="12"/>
      <c r="F31" s="12"/>
      <c r="G31" s="12"/>
      <c r="H31" s="12"/>
      <c r="I31" s="4" t="str">
        <f t="shared" si="2"/>
        <v/>
      </c>
      <c r="J31" s="4" t="str">
        <f t="shared" si="3"/>
        <v/>
      </c>
      <c r="K31" s="3"/>
      <c r="L31" s="3"/>
      <c r="M31" s="3"/>
      <c r="N31" s="5"/>
    </row>
    <row r="32" spans="1:14" x14ac:dyDescent="0.35">
      <c r="A32" s="13">
        <v>46281</v>
      </c>
      <c r="B32" s="3"/>
      <c r="C32" s="12"/>
      <c r="D32" s="12"/>
      <c r="E32" s="12"/>
      <c r="F32" s="12"/>
      <c r="G32" s="12"/>
      <c r="H32" s="12"/>
      <c r="I32" s="4" t="str">
        <f t="shared" si="2"/>
        <v/>
      </c>
      <c r="J32" s="4" t="str">
        <f t="shared" si="3"/>
        <v/>
      </c>
      <c r="K32" s="3"/>
      <c r="L32" s="3"/>
      <c r="M32" s="3"/>
      <c r="N32" s="5"/>
    </row>
    <row r="33" spans="1:14" x14ac:dyDescent="0.35">
      <c r="A33" s="13">
        <v>46282</v>
      </c>
      <c r="B33" s="3"/>
      <c r="C33" s="12"/>
      <c r="D33" s="12"/>
      <c r="E33" s="12"/>
      <c r="F33" s="12"/>
      <c r="G33" s="12"/>
      <c r="H33" s="12"/>
      <c r="I33" s="4" t="str">
        <f t="shared" si="2"/>
        <v/>
      </c>
      <c r="J33" s="4" t="str">
        <f t="shared" si="3"/>
        <v/>
      </c>
      <c r="K33" s="3"/>
      <c r="L33" s="3"/>
      <c r="M33" s="3"/>
      <c r="N33" s="5"/>
    </row>
    <row r="34" spans="1:14" x14ac:dyDescent="0.35">
      <c r="A34" s="13">
        <v>46283</v>
      </c>
      <c r="B34" s="3"/>
      <c r="C34" s="12"/>
      <c r="D34" s="12"/>
      <c r="E34" s="12"/>
      <c r="F34" s="12"/>
      <c r="G34" s="12"/>
      <c r="H34" s="12"/>
      <c r="I34" s="4" t="str">
        <f t="shared" si="2"/>
        <v/>
      </c>
      <c r="J34" s="4" t="str">
        <f t="shared" si="3"/>
        <v/>
      </c>
      <c r="K34" s="3"/>
      <c r="L34" s="3"/>
      <c r="M34" s="3"/>
      <c r="N34" s="5"/>
    </row>
    <row r="35" spans="1:14" x14ac:dyDescent="0.35">
      <c r="A35" s="13">
        <v>46284</v>
      </c>
      <c r="B35" s="3"/>
      <c r="C35" s="12"/>
      <c r="D35" s="12"/>
      <c r="E35" s="12"/>
      <c r="F35" s="12"/>
      <c r="G35" s="12"/>
      <c r="H35" s="12"/>
      <c r="I35" s="4" t="str">
        <f t="shared" si="2"/>
        <v/>
      </c>
      <c r="J35" s="4" t="str">
        <f t="shared" si="3"/>
        <v/>
      </c>
      <c r="K35" s="3"/>
      <c r="L35" s="3"/>
      <c r="M35" s="3"/>
      <c r="N35" s="5"/>
    </row>
    <row r="36" spans="1:14" x14ac:dyDescent="0.35">
      <c r="A36" s="13">
        <v>46285</v>
      </c>
      <c r="B36" s="3"/>
      <c r="C36" s="12"/>
      <c r="D36" s="12"/>
      <c r="E36" s="12"/>
      <c r="F36" s="12"/>
      <c r="G36" s="12"/>
      <c r="H36" s="12"/>
      <c r="I36" s="4" t="str">
        <f t="shared" si="2"/>
        <v/>
      </c>
      <c r="J36" s="4" t="str">
        <f t="shared" si="3"/>
        <v/>
      </c>
      <c r="K36" s="3"/>
      <c r="L36" s="3"/>
      <c r="M36" s="3"/>
      <c r="N36" s="5"/>
    </row>
    <row r="37" spans="1:14" x14ac:dyDescent="0.35">
      <c r="A37" s="13">
        <v>46286</v>
      </c>
      <c r="B37" s="3"/>
      <c r="C37" s="12"/>
      <c r="D37" s="12"/>
      <c r="E37" s="12"/>
      <c r="F37" s="12"/>
      <c r="G37" s="12"/>
      <c r="H37" s="12"/>
      <c r="I37" s="4" t="str">
        <f t="shared" si="2"/>
        <v/>
      </c>
      <c r="J37" s="4" t="str">
        <f t="shared" si="3"/>
        <v/>
      </c>
      <c r="K37" s="3"/>
      <c r="L37" s="3"/>
      <c r="M37" s="3"/>
      <c r="N37" s="5"/>
    </row>
    <row r="38" spans="1:14" x14ac:dyDescent="0.35">
      <c r="A38" s="13">
        <v>46287</v>
      </c>
      <c r="B38" s="3"/>
      <c r="C38" s="12"/>
      <c r="D38" s="12"/>
      <c r="E38" s="12"/>
      <c r="F38" s="12"/>
      <c r="G38" s="12"/>
      <c r="H38" s="12"/>
      <c r="I38" s="4" t="str">
        <f t="shared" si="2"/>
        <v/>
      </c>
      <c r="J38" s="4" t="str">
        <f t="shared" si="3"/>
        <v/>
      </c>
      <c r="K38" s="3"/>
      <c r="L38" s="3"/>
      <c r="M38" s="3"/>
      <c r="N38" s="5"/>
    </row>
    <row r="39" spans="1:14" x14ac:dyDescent="0.35">
      <c r="A39" s="13">
        <v>46288</v>
      </c>
      <c r="B39" s="3"/>
      <c r="C39" s="12"/>
      <c r="D39" s="12"/>
      <c r="E39" s="12"/>
      <c r="F39" s="12"/>
      <c r="G39" s="12"/>
      <c r="H39" s="12"/>
      <c r="I39" s="4" t="str">
        <f t="shared" si="2"/>
        <v/>
      </c>
      <c r="J39" s="4" t="str">
        <f t="shared" si="3"/>
        <v/>
      </c>
      <c r="K39" s="3"/>
      <c r="L39" s="3"/>
      <c r="M39" s="3"/>
      <c r="N39" s="5"/>
    </row>
    <row r="40" spans="1:14" x14ac:dyDescent="0.35">
      <c r="A40" s="13">
        <v>46289</v>
      </c>
      <c r="B40" s="3"/>
      <c r="C40" s="12"/>
      <c r="D40" s="12"/>
      <c r="E40" s="12"/>
      <c r="F40" s="12"/>
      <c r="G40" s="12"/>
      <c r="H40" s="12"/>
      <c r="I40" s="4" t="str">
        <f t="shared" si="2"/>
        <v/>
      </c>
      <c r="J40" s="4" t="str">
        <f t="shared" si="3"/>
        <v/>
      </c>
      <c r="K40" s="3"/>
      <c r="L40" s="3"/>
      <c r="M40" s="3"/>
      <c r="N40" s="5"/>
    </row>
    <row r="41" spans="1:14" x14ac:dyDescent="0.35">
      <c r="A41" s="13">
        <v>46290</v>
      </c>
      <c r="B41" s="3"/>
      <c r="C41" s="12"/>
      <c r="D41" s="12"/>
      <c r="E41" s="12"/>
      <c r="F41" s="12"/>
      <c r="G41" s="12"/>
      <c r="H41" s="12"/>
      <c r="I41" s="4" t="str">
        <f t="shared" si="2"/>
        <v/>
      </c>
      <c r="J41" s="4" t="str">
        <f t="shared" si="3"/>
        <v/>
      </c>
      <c r="K41" s="3"/>
      <c r="L41" s="3"/>
      <c r="M41" s="3"/>
      <c r="N41" s="5"/>
    </row>
    <row r="42" spans="1:14" x14ac:dyDescent="0.35">
      <c r="A42" s="13">
        <v>46291</v>
      </c>
      <c r="B42" s="3"/>
      <c r="C42" s="12"/>
      <c r="D42" s="12"/>
      <c r="E42" s="12"/>
      <c r="F42" s="12"/>
      <c r="G42" s="12"/>
      <c r="H42" s="12"/>
      <c r="I42" s="4" t="str">
        <f t="shared" si="2"/>
        <v/>
      </c>
      <c r="J42" s="4" t="str">
        <f t="shared" si="3"/>
        <v/>
      </c>
      <c r="K42" s="3"/>
      <c r="L42" s="3"/>
      <c r="M42" s="3"/>
      <c r="N42" s="5"/>
    </row>
    <row r="43" spans="1:14" x14ac:dyDescent="0.35">
      <c r="A43" s="13">
        <v>46292</v>
      </c>
      <c r="B43" s="3"/>
      <c r="C43" s="12"/>
      <c r="D43" s="12"/>
      <c r="E43" s="12"/>
      <c r="F43" s="12"/>
      <c r="G43" s="12"/>
      <c r="H43" s="12"/>
      <c r="I43" s="4" t="str">
        <f t="shared" si="2"/>
        <v/>
      </c>
      <c r="J43" s="4" t="str">
        <f t="shared" si="3"/>
        <v/>
      </c>
      <c r="K43" s="3"/>
      <c r="L43" s="3"/>
      <c r="M43" s="3"/>
      <c r="N43" s="5"/>
    </row>
    <row r="44" spans="1:14" x14ac:dyDescent="0.35">
      <c r="A44" s="13">
        <v>46293</v>
      </c>
      <c r="B44" s="3"/>
      <c r="C44" s="12"/>
      <c r="D44" s="12"/>
      <c r="E44" s="12"/>
      <c r="F44" s="12"/>
      <c r="G44" s="12"/>
      <c r="H44" s="12"/>
      <c r="I44" s="4" t="str">
        <f t="shared" si="2"/>
        <v/>
      </c>
      <c r="J44" s="4" t="str">
        <f t="shared" si="3"/>
        <v/>
      </c>
      <c r="K44" s="3"/>
      <c r="L44" s="3"/>
      <c r="M44" s="3"/>
      <c r="N44" s="5"/>
    </row>
    <row r="45" spans="1:14" x14ac:dyDescent="0.35">
      <c r="A45" s="13">
        <v>46294</v>
      </c>
      <c r="B45" s="3"/>
      <c r="C45" s="12"/>
      <c r="D45" s="12"/>
      <c r="E45" s="12"/>
      <c r="F45" s="12"/>
      <c r="G45" s="12"/>
      <c r="H45" s="12"/>
      <c r="I45" s="4" t="str">
        <f t="shared" si="2"/>
        <v/>
      </c>
      <c r="J45" s="4" t="str">
        <f t="shared" si="3"/>
        <v/>
      </c>
      <c r="K45" s="3"/>
      <c r="L45" s="3"/>
      <c r="M45" s="3"/>
      <c r="N45" s="5"/>
    </row>
    <row r="46" spans="1:14" x14ac:dyDescent="0.35">
      <c r="A46" s="13">
        <v>46295</v>
      </c>
      <c r="B46" s="3"/>
      <c r="C46" s="12"/>
      <c r="D46" s="12"/>
      <c r="E46" s="12"/>
      <c r="F46" s="12"/>
      <c r="G46" s="12"/>
      <c r="H46" s="12"/>
      <c r="I46" s="4" t="str">
        <f t="shared" si="2"/>
        <v/>
      </c>
      <c r="J46" s="4" t="str">
        <f t="shared" si="3"/>
        <v/>
      </c>
      <c r="K46" s="3"/>
      <c r="L46" s="3"/>
      <c r="M46" s="3"/>
      <c r="N46" s="5"/>
    </row>
    <row r="47" spans="1:14" x14ac:dyDescent="0.35">
      <c r="A47" s="13">
        <v>46296</v>
      </c>
      <c r="B47" s="3"/>
      <c r="C47" s="12"/>
      <c r="D47" s="12"/>
      <c r="E47" s="12"/>
      <c r="F47" s="12"/>
      <c r="G47" s="12"/>
      <c r="H47" s="12"/>
      <c r="I47" s="4" t="str">
        <f t="shared" si="2"/>
        <v/>
      </c>
      <c r="J47" s="4" t="str">
        <f t="shared" si="3"/>
        <v/>
      </c>
      <c r="K47" s="3"/>
      <c r="L47" s="3"/>
      <c r="M47" s="3"/>
      <c r="N47" s="5"/>
    </row>
    <row r="48" spans="1:14" x14ac:dyDescent="0.35">
      <c r="A48" s="13">
        <v>46297</v>
      </c>
      <c r="B48" s="3"/>
      <c r="C48" s="12"/>
      <c r="D48" s="12"/>
      <c r="E48" s="12"/>
      <c r="F48" s="12"/>
      <c r="G48" s="12"/>
      <c r="H48" s="12"/>
      <c r="I48" s="4" t="str">
        <f t="shared" si="2"/>
        <v/>
      </c>
      <c r="J48" s="4" t="str">
        <f t="shared" si="3"/>
        <v/>
      </c>
      <c r="K48" s="3"/>
      <c r="L48" s="3"/>
      <c r="M48" s="3"/>
      <c r="N48" s="5"/>
    </row>
    <row r="49" spans="1:14" x14ac:dyDescent="0.35">
      <c r="A49" s="13">
        <v>46298</v>
      </c>
      <c r="B49" s="3"/>
      <c r="C49" s="12"/>
      <c r="D49" s="12"/>
      <c r="E49" s="12"/>
      <c r="F49" s="12"/>
      <c r="G49" s="12"/>
      <c r="H49" s="12"/>
      <c r="I49" s="4" t="str">
        <f t="shared" si="2"/>
        <v/>
      </c>
      <c r="J49" s="4" t="str">
        <f t="shared" si="3"/>
        <v/>
      </c>
      <c r="K49" s="3"/>
      <c r="L49" s="3"/>
      <c r="M49" s="3"/>
      <c r="N49" s="5"/>
    </row>
    <row r="50" spans="1:14" x14ac:dyDescent="0.35">
      <c r="A50" s="13">
        <v>46299</v>
      </c>
      <c r="B50" s="3"/>
      <c r="C50" s="12"/>
      <c r="D50" s="12"/>
      <c r="E50" s="12"/>
      <c r="F50" s="12"/>
      <c r="G50" s="12"/>
      <c r="H50" s="12"/>
      <c r="I50" s="4" t="str">
        <f t="shared" si="2"/>
        <v/>
      </c>
      <c r="J50" s="4" t="str">
        <f t="shared" si="3"/>
        <v/>
      </c>
      <c r="K50" s="3"/>
      <c r="L50" s="3"/>
      <c r="M50" s="3"/>
      <c r="N50" s="5"/>
    </row>
    <row r="51" spans="1:14" x14ac:dyDescent="0.35">
      <c r="A51" s="13">
        <v>46300</v>
      </c>
      <c r="B51" s="3"/>
      <c r="C51" s="12"/>
      <c r="D51" s="12"/>
      <c r="E51" s="12"/>
      <c r="F51" s="12"/>
      <c r="G51" s="12"/>
      <c r="H51" s="12"/>
      <c r="I51" s="4" t="str">
        <f t="shared" si="2"/>
        <v/>
      </c>
      <c r="J51" s="4" t="str">
        <f t="shared" si="3"/>
        <v/>
      </c>
      <c r="K51" s="3"/>
      <c r="L51" s="3"/>
      <c r="M51" s="3"/>
      <c r="N51" s="5"/>
    </row>
    <row r="52" spans="1:14" x14ac:dyDescent="0.35">
      <c r="A52" s="13">
        <v>46301</v>
      </c>
      <c r="B52" s="3"/>
      <c r="C52" s="12"/>
      <c r="D52" s="12"/>
      <c r="E52" s="12"/>
      <c r="F52" s="12"/>
      <c r="G52" s="12"/>
      <c r="H52" s="12"/>
      <c r="I52" s="4" t="str">
        <f t="shared" si="2"/>
        <v/>
      </c>
      <c r="J52" s="4" t="str">
        <f t="shared" si="3"/>
        <v/>
      </c>
      <c r="K52" s="3"/>
      <c r="L52" s="3"/>
      <c r="M52" s="3"/>
      <c r="N52" s="5"/>
    </row>
    <row r="53" spans="1:14" x14ac:dyDescent="0.35">
      <c r="A53" s="13">
        <v>46302</v>
      </c>
      <c r="B53" s="3"/>
      <c r="C53" s="12"/>
      <c r="D53" s="12"/>
      <c r="E53" s="12"/>
      <c r="F53" s="12"/>
      <c r="G53" s="12"/>
      <c r="H53" s="12"/>
      <c r="I53" s="4" t="str">
        <f t="shared" si="2"/>
        <v/>
      </c>
      <c r="J53" s="4" t="str">
        <f t="shared" si="3"/>
        <v/>
      </c>
      <c r="K53" s="3"/>
      <c r="L53" s="3"/>
      <c r="M53" s="3"/>
      <c r="N53" s="5"/>
    </row>
  </sheetData>
  <mergeCells count="1">
    <mergeCell ref="A1:N1"/>
  </mergeCells>
  <phoneticPr fontId="8" type="noConversion"/>
  <conditionalFormatting sqref="I6:J53">
    <cfRule type="expression" dxfId="0" priority="4">
      <formula>AND(ISNUMBER($I6),$I6&gt;1440)</formula>
    </cfRule>
  </conditionalFormatting>
  <dataValidations count="2">
    <dataValidation type="whole" allowBlank="1" showErrorMessage="1" errorTitle="Invalid minutes" error="Enter whole minutes between 0 and 1440." sqref="B6:F6 H6" xr:uid="{00000000-0002-0000-0000-000000000000}">
      <formula1>0</formula1>
      <formula2>1440</formula2>
    </dataValidation>
    <dataValidation type="whole" allowBlank="1" showErrorMessage="1" errorTitle="Invalid count" error="Enter a whole number of classes (0-20)." sqref="G6" xr:uid="{00000000-0002-0000-0000-000001000000}">
      <formula1>0</formula1>
      <formula2>20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Pick from list" error="Choose a value from the dropdown." xr:uid="{00000000-0002-0000-0000-000002000000}">
          <x14:formula1>
            <xm:f>Lists!$A$4:$A$8</xm:f>
          </x14:formula1>
          <x14:formula2>
            <xm:f>0</xm:f>
          </x14:formula2>
          <xm:sqref>K6:K53</xm:sqref>
        </x14:dataValidation>
        <x14:dataValidation type="list" allowBlank="1" showErrorMessage="1" errorTitle="Pick from list" error="Choose a value from the dropdown." xr:uid="{00000000-0002-0000-0000-000003000000}">
          <x14:formula1>
            <xm:f>Lists!$D$4:$D$8</xm:f>
          </x14:formula1>
          <x14:formula2>
            <xm:f>0</xm:f>
          </x14:formula2>
          <xm:sqref>L6:L53</xm:sqref>
        </x14:dataValidation>
        <x14:dataValidation type="list" allowBlank="1" showErrorMessage="1" errorTitle="Pick from list" error="Choose a value from the dropdown." xr:uid="{00000000-0002-0000-0000-000004000000}">
          <x14:formula1>
            <xm:f>Lists!$G$4:$G$6</xm:f>
          </x14:formula1>
          <x14:formula2>
            <xm:f>0</xm:f>
          </x14:formula2>
          <xm:sqref>M6:M53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>
      <selection activeCell="G16" sqref="G16"/>
    </sheetView>
  </sheetViews>
  <sheetFormatPr defaultColWidth="8.6328125" defaultRowHeight="14.5" x14ac:dyDescent="0.35"/>
  <cols>
    <col min="1" max="1" width="20" customWidth="1"/>
    <col min="4" max="4" width="20" customWidth="1"/>
    <col min="7" max="7" width="20" customWidth="1"/>
  </cols>
  <sheetData>
    <row r="1" spans="1:8" x14ac:dyDescent="0.35">
      <c r="A1" s="1"/>
    </row>
    <row r="3" spans="1:8" x14ac:dyDescent="0.35">
      <c r="A3" s="6" t="s">
        <v>18</v>
      </c>
      <c r="B3" s="6" t="s">
        <v>19</v>
      </c>
      <c r="D3" s="6" t="s">
        <v>20</v>
      </c>
      <c r="E3" s="6" t="s">
        <v>19</v>
      </c>
      <c r="G3" s="6" t="s">
        <v>21</v>
      </c>
      <c r="H3" s="6" t="s">
        <v>19</v>
      </c>
    </row>
    <row r="4" spans="1:8" x14ac:dyDescent="0.35">
      <c r="A4" s="7" t="s">
        <v>22</v>
      </c>
      <c r="B4" s="7">
        <v>5</v>
      </c>
      <c r="D4" s="7" t="s">
        <v>23</v>
      </c>
      <c r="E4" s="7">
        <v>5</v>
      </c>
      <c r="G4" s="7" t="s">
        <v>24</v>
      </c>
      <c r="H4" s="7">
        <v>3</v>
      </c>
    </row>
    <row r="5" spans="1:8" x14ac:dyDescent="0.35">
      <c r="A5" s="7" t="s">
        <v>25</v>
      </c>
      <c r="B5" s="7">
        <v>4</v>
      </c>
      <c r="D5" s="7" t="s">
        <v>26</v>
      </c>
      <c r="E5" s="7">
        <v>4</v>
      </c>
      <c r="G5" s="7" t="s">
        <v>27</v>
      </c>
      <c r="H5" s="7">
        <v>2</v>
      </c>
    </row>
    <row r="6" spans="1:8" x14ac:dyDescent="0.35">
      <c r="A6" s="7" t="s">
        <v>28</v>
      </c>
      <c r="B6" s="7">
        <v>3</v>
      </c>
      <c r="D6" s="7" t="s">
        <v>29</v>
      </c>
      <c r="E6" s="7">
        <v>3</v>
      </c>
      <c r="G6" s="7" t="s">
        <v>30</v>
      </c>
      <c r="H6" s="7">
        <v>1</v>
      </c>
    </row>
    <row r="7" spans="1:8" x14ac:dyDescent="0.35">
      <c r="A7" s="7" t="s">
        <v>30</v>
      </c>
      <c r="B7" s="7">
        <v>2</v>
      </c>
      <c r="D7" s="7" t="s">
        <v>31</v>
      </c>
      <c r="E7" s="7">
        <v>2</v>
      </c>
    </row>
    <row r="8" spans="1:8" x14ac:dyDescent="0.35">
      <c r="A8" s="7" t="s">
        <v>32</v>
      </c>
      <c r="B8" s="7">
        <v>1</v>
      </c>
      <c r="D8" s="7" t="s">
        <v>33</v>
      </c>
      <c r="E8" s="7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saurabh pandey</cp:lastModifiedBy>
  <cp:revision>0</cp:revision>
  <dcterms:created xsi:type="dcterms:W3CDTF">2026-09-21T10:42:00Z</dcterms:created>
  <dcterms:modified xsi:type="dcterms:W3CDTF">2026-09-24T18:55:18Z</dcterms:modified>
  <dc:language>en-US</dc:language>
</cp:coreProperties>
</file>